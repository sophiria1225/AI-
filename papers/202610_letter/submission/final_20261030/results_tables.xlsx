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表1_要約方式" sheetId="1" r:id="rId1"/>
    <sheet name="表2_終了制御" sheetId="2" r:id="rId2"/>
    <sheet name="実験A_実行" sheetId="3" r:id="rId3"/>
    <sheet name="実験B_実行" sheetId="4" r:id="rId4"/>
    <sheet name="集計" sheetId="5" r:id="rId5"/>
  </sheets>
  <definedNames>
    <definedName name="_xlnm.Print_Area" localSheetId="2">実験A_実行!$A$1:$J$16</definedName>
    <definedName name="_xlnm.Print_Area" localSheetId="3">実験B_実行!$A$1:$I$8</definedName>
    <definedName name="_xlnm.Print_Area" localSheetId="0">表1_要約方式!$A$1:$D$8</definedName>
    <definedName name="_xlnm.Print_Area" localSheetId="1">表2_終了制御!$A$1:$E$7</definedName>
    <definedName name="_xlnm.Print_Area" localSheetId="4">集計!$A$1:$G$21</definedName>
  </definedNames>
  <calcPr calcId="124519" fullCalcOnLoad="1"/>
</workbook>
</file>

<file path=xl/sharedStrings.xml><?xml version="1.0" encoding="utf-8"?>
<sst xmlns="http://schemas.openxmlformats.org/spreadsheetml/2006/main" count="120" uniqueCount="52">
  <si>
    <t>課題</t>
  </si>
  <si>
    <t>方式</t>
  </si>
  <si>
    <t>総トークン数</t>
  </si>
  <si>
    <t>入力トークン数</t>
  </si>
  <si>
    <t>出力トークン数</t>
  </si>
  <si>
    <t>モデル呼出し数</t>
  </si>
  <si>
    <t>API要求数</t>
  </si>
  <si>
    <t>成功</t>
  </si>
  <si>
    <t>要約採用回数</t>
  </si>
  <si>
    <t>使用量不明件数</t>
  </si>
  <si>
    <t>写真操作</t>
  </si>
  <si>
    <t>専用1回方式</t>
  </si>
  <si>
    <t>専用反復方式</t>
  </si>
  <si>
    <t>行動併記方式</t>
  </si>
  <si>
    <t>精算</t>
  </si>
  <si>
    <t>返金</t>
  </si>
  <si>
    <t>CSV処理</t>
  </si>
  <si>
    <t>API条件</t>
  </si>
  <si>
    <t>終了方法</t>
  </si>
  <si>
    <t>文書必須</t>
  </si>
  <si>
    <t>通常継続</t>
  </si>
  <si>
    <t>終了制御</t>
  </si>
  <si>
    <t>名前参照</t>
  </si>
  <si>
    <t>合計</t>
  </si>
  <si>
    <t>単位はトークン。全12実行で成功し、使用量の欠測はなかった。</t>
  </si>
  <si>
    <t>全4実行で成功し、使用量の欠測はなかった。</t>
  </si>
  <si>
    <t>実験A：4課題の合計</t>
  </si>
  <si>
    <t>成功数</t>
  </si>
  <si>
    <t>実験B：同じ写真課題の2条件</t>
  </si>
  <si>
    <t>削減率</t>
  </si>
  <si>
    <t>通常継続の成功数</t>
  </si>
  <si>
    <t>終了制御の成功数</t>
  </si>
  <si>
    <t>実験A：4課題合計の方式間比較</t>
  </si>
  <si>
    <t>対象方式</t>
  </si>
  <si>
    <t>基準方式</t>
  </si>
  <si>
    <t>差分トークン数</t>
  </si>
  <si>
    <t>差分率</t>
  </si>
  <si>
    <t>差分＝対象方式−基準方式。負の値は削減を表す。実験AとBの削減率は合算しない。</t>
  </si>
  <si>
    <t>編集方法：実験A_実行と実験B_実行の元データを編集すると、表1・表2と集計式が更新される。</t>
  </si>
  <si>
    <t>表1・表2と元データは編集可能なExcelのネイティブ表。結果グラフと画像は含まない。</t>
  </si>
  <si>
    <t>専用は要約専用のモデル呼出しを表す。方式名は本稿で比較する条件の名称である。</t>
  </si>
  <si>
    <t>専用1回方式：要約専用の呼出しで候補を作る。要約機会は最大1回。</t>
  </si>
  <si>
    <t>専用反復方式：要約専用の呼出しを繰り返す。前の採用要約と新たな古い履歴をまとめる。要約機会は最大3回。</t>
  </si>
  <si>
    <t>行動併記方式：行動と要約候補を同じモデル応答で生成する。要約専用の追加呼出しはなく、要約機会は最大3回。</t>
  </si>
  <si>
    <t>要約機会と採用回数は異なる。不採用の場合も要約機会を1回使ったと数える。</t>
  </si>
  <si>
    <t>実験Bの介入は終了制御、API実行記録を検査する処理は完了判定と呼ぶ。</t>
  </si>
  <si>
    <t>総トークン数は要約専用の生成を含む全モデル呼出しの入力と出力の合計。キャッシュされた入力も含む。</t>
  </si>
  <si>
    <t>総トークン数は論理トークンの指標であり、金銭課金や時間を直接表さない。</t>
  </si>
  <si>
    <t>成功は実行終了後の公式評価器による。実験Aの全12実行と実験Bの全4実行で成功、使用量欠測なし。</t>
  </si>
  <si>
    <t>実験AとBは独立した既知課題の比較であり、組合せ効果や一般的な品質保証は評価していない。</t>
  </si>
  <si>
    <t>実験Bでは13データベースのハッシュが一致したが、要求・応答全文の厳密な先頭一致は成立しなかった。</t>
  </si>
  <si>
    <t>元データは同梱のresults_data.json。新しい実験値は追加していない。</t>
  </si>
</sst>
</file>

<file path=xl/styles.xml><?xml version="1.0" encoding="utf-8"?>
<styleSheet xmlns="http://schemas.openxmlformats.org/spreadsheetml/2006/main">
  <numFmts count="2">
    <numFmt numFmtId="164" formatCode="#,##0"/>
    <numFmt numFmtId="165" formatCode="0.00%;-0.00%"/>
  </numFmts>
  <fonts count="4">
    <font>
      <sz val="11"/>
      <color theme="1"/>
      <name val="Calibri"/>
      <family val="2"/>
      <scheme val="minor"/>
    </font>
    <font>
      <sz val="11"/>
      <color theme="1"/>
      <name val="Hiragino Sans"/>
      <family val="2"/>
    </font>
    <font>
      <b/>
      <sz val="11"/>
      <color rgb="FF202020"/>
      <name val="Hiragino Sans"/>
      <family val="2"/>
    </font>
    <font>
      <b/>
      <sz val="11"/>
      <color theme="1"/>
      <name val="Hiragino Sans"/>
      <family val="2"/>
    </font>
  </fonts>
  <fills count="3">
    <fill>
      <patternFill patternType="none"/>
    </fill>
    <fill>
      <patternFill patternType="gray125"/>
    </fill>
    <fill>
      <patternFill patternType="solid">
        <fgColor rgb="FFEAF0F7"/>
        <bgColor indexed="64"/>
      </patternFill>
    </fill>
  </fills>
  <borders count="2">
    <border>
      <left/>
      <right/>
      <top/>
      <bottom/>
      <diagonal/>
    </border>
    <border>
      <left/>
      <right/>
      <top style="thin">
        <color auto="1"/>
      </top>
      <bottom/>
      <diagonal/>
    </border>
  </borders>
  <cellStyleXfs count="1">
    <xf numFmtId="0" fontId="0" fillId="0" borderId="0"/>
  </cellStyleXfs>
  <cellXfs count="6">
    <xf numFmtId="0" fontId="0" fillId="0" borderId="0" xfId="0"/>
    <xf numFmtId="0" fontId="1" fillId="0" borderId="0" xfId="0" applyFont="1"/>
    <xf numFmtId="164" fontId="1" fillId="0" borderId="0" xfId="0" applyNumberFormat="1" applyFont="1"/>
    <xf numFmtId="0" fontId="2" fillId="2" borderId="0" xfId="0" applyFont="1" applyFill="1" applyAlignment="1">
      <alignment vertical="center" wrapText="1"/>
    </xf>
    <xf numFmtId="164" fontId="3" fillId="0" borderId="1" xfId="0" applyNumberFormat="1" applyFont="1" applyBorder="1"/>
    <xf numFmtId="165" fontId="1" fillId="0" borderId="0" xfId="0" applyNumberFormat="1" applyFont="1"/>
  </cellXfs>
  <cellStyles count="1">
    <cellStyle name="Normal" xfId="0" builtinId="0"/>
  </cellStyles>
  <dxfs count="2">
    <dxf/>
    <dxf>
      <numFmt numFmtId="164" formatCode="#,##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ables/table1.xml><?xml version="1.0" encoding="utf-8"?>
<table xmlns="http://schemas.openxmlformats.org/spreadsheetml/2006/main" id="1" name="SummaryResults" displayName="SummaryResults" ref="A1:D5" totalsRowShown="0">
  <tableColumns count="4">
    <tableColumn id="1" name="課題" dataDxfId="0"/>
    <tableColumn id="2" name="専用1回方式" dataDxfId="0"/>
    <tableColumn id="3" name="専用反復方式" dataDxfId="1"/>
    <tableColumn id="4" name="行動併記方式" dataDxfId="1"/>
  </tableColumns>
  <tableStyleInfo name="TableStyleLight9" showFirstColumn="0" showLastColumn="0" showRowStripes="1" showColumnStripes="0"/>
</table>
</file>

<file path=xl/tables/table2.xml><?xml version="1.0" encoding="utf-8"?>
<table xmlns="http://schemas.openxmlformats.org/spreadsheetml/2006/main" id="2" name="TerminationResults" displayName="TerminationResults" ref="A1:E5" totalsRowShown="0">
  <tableColumns count="5">
    <tableColumn id="1" name="API条件" dataDxfId="0"/>
    <tableColumn id="2" name="終了方法" dataDxfId="0"/>
    <tableColumn id="3" name="総トークン数" dataDxfId="1"/>
    <tableColumn id="4" name="モデル呼出し数" dataDxfId="1"/>
    <tableColumn id="5" name="API要求数" dataDxfId="1"/>
  </tableColumns>
  <tableStyleInfo name="TableStyleLight9" showFirstColumn="0" showLastColumn="0" showRowStripes="1" showColumnStripes="0"/>
</table>
</file>

<file path=xl/tables/table3.xml><?xml version="1.0" encoding="utf-8"?>
<table xmlns="http://schemas.openxmlformats.org/spreadsheetml/2006/main" id="3" name="StudyARuns" displayName="StudyARuns" ref="A1:J13" totalsRowShown="0">
  <tableColumns count="10">
    <tableColumn id="1" name="課題" dataDxfId="0"/>
    <tableColumn id="2" name="方式" dataDxfId="0"/>
    <tableColumn id="3" name="総トークン数" dataDxfId="1"/>
    <tableColumn id="4" name="入力トークン数" dataDxfId="1"/>
    <tableColumn id="5" name="出力トークン数" dataDxfId="1"/>
    <tableColumn id="6" name="モデル呼出し数" dataDxfId="1"/>
    <tableColumn id="7" name="API要求数" dataDxfId="1"/>
    <tableColumn id="8" name="成功" dataDxfId="1"/>
    <tableColumn id="9" name="要約採用回数" dataDxfId="1"/>
    <tableColumn id="10" name="使用量不明件数" dataDxfId="1"/>
  </tableColumns>
  <tableStyleInfo name="TableStyleLight9" showFirstColumn="0" showLastColumn="0" showRowStripes="1" showColumnStripes="0"/>
</table>
</file>

<file path=xl/tables/table4.xml><?xml version="1.0" encoding="utf-8"?>
<table xmlns="http://schemas.openxmlformats.org/spreadsheetml/2006/main" id="4" name="StudyBRuns" displayName="StudyBRuns" ref="A1:I5" totalsRowShown="0">
  <tableColumns count="9">
    <tableColumn id="1" name="API条件" dataDxfId="0"/>
    <tableColumn id="2" name="終了方法" dataDxfId="0"/>
    <tableColumn id="3" name="総トークン数" dataDxfId="1"/>
    <tableColumn id="4" name="入力トークン数" dataDxfId="1"/>
    <tableColumn id="5" name="出力トークン数" dataDxfId="1"/>
    <tableColumn id="6" name="モデル呼出し数" dataDxfId="1"/>
    <tableColumn id="7" name="API要求数" dataDxfId="1"/>
    <tableColumn id="8" name="成功" dataDxfId="1"/>
    <tableColumn id="9" name="使用量不明件数" dataDxfId="1"/>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sheetPr>
    <pageSetUpPr fitToPage="1"/>
  </sheetPr>
  <dimension ref="A1:J8"/>
  <sheetViews>
    <sheetView showGridLines="0" tabSelected="1" workbookViewId="0">
      <pane xSplit="1" ySplit="1" topLeftCell="B2" activePane="bottomRight" state="frozen"/>
      <selection pane="topRight" activeCell="B1" sqref="B1"/>
      <selection pane="bottomLeft" activeCell="A2" sqref="A2"/>
      <selection pane="bottomRight"/>
    </sheetView>
  </sheetViews>
  <sheetFormatPr defaultRowHeight="20" customHeight="1"/>
  <cols>
    <col min="1" max="1" width="18.7109375" style="1" customWidth="1"/>
    <col min="2" max="10" width="20.7109375" style="2" customWidth="1"/>
  </cols>
  <sheetData>
    <row r="1" spans="1:4" ht="30" customHeight="1">
      <c r="A1" s="3" t="s">
        <v>0</v>
      </c>
      <c r="B1" s="3" t="s">
        <v>11</v>
      </c>
      <c r="C1" s="3" t="s">
        <v>12</v>
      </c>
      <c r="D1" s="3" t="s">
        <v>13</v>
      </c>
    </row>
    <row r="2" spans="1:4" ht="20" customHeight="1">
      <c r="A2" s="1" t="s">
        <v>10</v>
      </c>
      <c r="B2" s="2">
        <f>SUMIFS('実験A_実行'!$C$2:$C$13,'実験A_実行'!$A$2:$A$13,$A2,'実験A_実行'!$B$2:$B$13,B$1)</f>
        <v>139871</v>
      </c>
      <c r="C2" s="2">
        <f>SUMIFS('実験A_実行'!$C$2:$C$13,'実験A_実行'!$A$2:$A$13,$A2,'実験A_実行'!$B$2:$B$13,C$1)</f>
        <v>139871</v>
      </c>
      <c r="D2" s="2">
        <f>SUMIFS('実験A_実行'!$C$2:$C$13,'実験A_実行'!$A$2:$A$13,$A2,'実験A_実行'!$B$2:$B$13,D$1)</f>
        <v>129374</v>
      </c>
    </row>
    <row r="3" spans="1:4" ht="20" customHeight="1">
      <c r="A3" s="1" t="s">
        <v>14</v>
      </c>
      <c r="B3" s="2">
        <f>SUMIFS('実験A_実行'!$C$2:$C$13,'実験A_実行'!$A$2:$A$13,$A3,'実験A_実行'!$B$2:$B$13,B$1)</f>
        <v>211110</v>
      </c>
      <c r="C3" s="2">
        <f>SUMIFS('実験A_実行'!$C$2:$C$13,'実験A_実行'!$A$2:$A$13,$A3,'実験A_実行'!$B$2:$B$13,C$1)</f>
        <v>211110</v>
      </c>
      <c r="D3" s="2">
        <f>SUMIFS('実験A_実行'!$C$2:$C$13,'実験A_実行'!$A$2:$A$13,$A3,'実験A_実行'!$B$2:$B$13,D$1)</f>
        <v>211110</v>
      </c>
    </row>
    <row r="4" spans="1:4" ht="20" customHeight="1">
      <c r="A4" s="1" t="s">
        <v>15</v>
      </c>
      <c r="B4" s="2">
        <f>SUMIFS('実験A_実行'!$C$2:$C$13,'実験A_実行'!$A$2:$A$13,$A4,'実験A_実行'!$B$2:$B$13,B$1)</f>
        <v>102087</v>
      </c>
      <c r="C4" s="2">
        <f>SUMIFS('実験A_実行'!$C$2:$C$13,'実験A_実行'!$A$2:$A$13,$A4,'実験A_実行'!$B$2:$B$13,C$1)</f>
        <v>102087</v>
      </c>
      <c r="D4" s="2">
        <f>SUMIFS('実験A_実行'!$C$2:$C$13,'実験A_実行'!$A$2:$A$13,$A4,'実験A_実行'!$B$2:$B$13,D$1)</f>
        <v>102087</v>
      </c>
    </row>
    <row r="5" spans="1:4" ht="20" customHeight="1">
      <c r="A5" s="1" t="s">
        <v>16</v>
      </c>
      <c r="B5" s="2">
        <f>SUMIFS('実験A_実行'!$C$2:$C$13,'実験A_実行'!$A$2:$A$13,$A5,'実験A_実行'!$B$2:$B$13,B$1)</f>
        <v>440461</v>
      </c>
      <c r="C5" s="2">
        <f>SUMIFS('実験A_実行'!$C$2:$C$13,'実験A_実行'!$A$2:$A$13,$A5,'実験A_実行'!$B$2:$B$13,C$1)</f>
        <v>332588</v>
      </c>
      <c r="D5" s="2">
        <f>SUMIFS('実験A_実行'!$C$2:$C$13,'実験A_実行'!$A$2:$A$13,$A5,'実験A_実行'!$B$2:$B$13,D$1)</f>
        <v>394351</v>
      </c>
    </row>
    <row r="6" spans="1:4" ht="20" customHeight="1">
      <c r="A6" s="4" t="s">
        <v>23</v>
      </c>
      <c r="B6" s="4">
        <f>SUM(B2:B5)</f>
        <v>893529</v>
      </c>
      <c r="C6" s="4">
        <f>SUM(C2:C5)</f>
        <v>785656</v>
      </c>
      <c r="D6" s="4">
        <f>SUM(D2:D5)</f>
        <v>836922</v>
      </c>
    </row>
    <row r="8" spans="1:4" ht="20" customHeight="1">
      <c r="A8" s="1" t="s">
        <v>24</v>
      </c>
    </row>
  </sheetData>
  <pageMargins left="0.3" right="0.3" top="0.4" bottom="0.4" header="0.3" footer="0.3"/>
  <pageSetup paperSize="9" orientation="landscape"/>
  <tableParts count="1">
    <tablePart r:id="rId1"/>
  </tableParts>
</worksheet>
</file>

<file path=xl/worksheets/sheet2.xml><?xml version="1.0" encoding="utf-8"?>
<worksheet xmlns="http://schemas.openxmlformats.org/spreadsheetml/2006/main" xmlns:r="http://schemas.openxmlformats.org/officeDocument/2006/relationships">
  <sheetPr>
    <pageSetUpPr fitToPage="1"/>
  </sheetPr>
  <dimension ref="A1:J7"/>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20" customHeight="1"/>
  <cols>
    <col min="1" max="1" width="18.7109375" style="1" customWidth="1"/>
    <col min="2" max="10" width="20.7109375" style="2" customWidth="1"/>
  </cols>
  <sheetData>
    <row r="1" spans="1:5" ht="30" customHeight="1">
      <c r="A1" s="3" t="s">
        <v>17</v>
      </c>
      <c r="B1" s="3" t="s">
        <v>18</v>
      </c>
      <c r="C1" s="3" t="s">
        <v>2</v>
      </c>
      <c r="D1" s="3" t="s">
        <v>5</v>
      </c>
      <c r="E1" s="3" t="s">
        <v>6</v>
      </c>
    </row>
    <row r="2" spans="1:5" ht="20" customHeight="1">
      <c r="A2" s="1" t="s">
        <v>19</v>
      </c>
      <c r="B2" s="1" t="s">
        <v>20</v>
      </c>
      <c r="C2" s="2">
        <f>SUMIFS('実験B_実行'!$C$2:$C$5,'実験B_実行'!$A$2:$A$5,A2,'実験B_実行'!$B$2:$B$5,B2)</f>
        <v>130439</v>
      </c>
      <c r="D2" s="2">
        <f>SUMIFS('実験B_実行'!$F$2:$F$5,'実験B_実行'!$A$2:$A$5,A2,'実験B_実行'!$B$2:$B$5,B2)</f>
        <v>15</v>
      </c>
      <c r="E2" s="2">
        <f>SUMIFS('実験B_実行'!$G$2:$G$5,'実験B_実行'!$A$2:$A$5,A2,'実験B_実行'!$B$2:$B$5,B2)</f>
        <v>104</v>
      </c>
    </row>
    <row r="3" spans="1:5" ht="20" customHeight="1">
      <c r="A3" s="1" t="s">
        <v>19</v>
      </c>
      <c r="B3" s="1" t="s">
        <v>21</v>
      </c>
      <c r="C3" s="2">
        <f>SUMIFS('実験B_実行'!$C$2:$C$5,'実験B_実行'!$A$2:$A$5,A3,'実験B_実行'!$B$2:$B$5,B3)</f>
        <v>91116</v>
      </c>
      <c r="D3" s="2">
        <f>SUMIFS('実験B_実行'!$F$2:$F$5,'実験B_実行'!$A$2:$A$5,A3,'実験B_実行'!$B$2:$B$5,B3)</f>
        <v>13</v>
      </c>
      <c r="E3" s="2">
        <f>SUMIFS('実験B_実行'!$G$2:$G$5,'実験B_実行'!$A$2:$A$5,A3,'実験B_実行'!$B$2:$B$5,B3)</f>
        <v>100</v>
      </c>
    </row>
    <row r="4" spans="1:5" ht="20" customHeight="1">
      <c r="A4" s="1" t="s">
        <v>22</v>
      </c>
      <c r="B4" s="1" t="s">
        <v>20</v>
      </c>
      <c r="C4" s="2">
        <f>SUMIFS('実験B_実行'!$C$2:$C$5,'実験B_実行'!$A$2:$A$5,A4,'実験B_実行'!$B$2:$B$5,B4)</f>
        <v>151664</v>
      </c>
      <c r="D4" s="2">
        <f>SUMIFS('実験B_実行'!$F$2:$F$5,'実験B_実行'!$A$2:$A$5,A4,'実験B_実行'!$B$2:$B$5,B4)</f>
        <v>14</v>
      </c>
      <c r="E4" s="2">
        <f>SUMIFS('実験B_実行'!$G$2:$G$5,'実験B_実行'!$A$2:$A$5,A4,'実験B_実行'!$B$2:$B$5,B4)</f>
        <v>103</v>
      </c>
    </row>
    <row r="5" spans="1:5" ht="20" customHeight="1">
      <c r="A5" s="1" t="s">
        <v>22</v>
      </c>
      <c r="B5" s="1" t="s">
        <v>21</v>
      </c>
      <c r="C5" s="2">
        <f>SUMIFS('実験B_実行'!$C$2:$C$5,'実験B_実行'!$A$2:$A$5,A5,'実験B_実行'!$B$2:$B$5,B5)</f>
        <v>112233</v>
      </c>
      <c r="D5" s="2">
        <f>SUMIFS('実験B_実行'!$F$2:$F$5,'実験B_実行'!$A$2:$A$5,A5,'実験B_実行'!$B$2:$B$5,B5)</f>
        <v>12</v>
      </c>
      <c r="E5" s="2">
        <f>SUMIFS('実験B_実行'!$G$2:$G$5,'実験B_実行'!$A$2:$A$5,A5,'実験B_実行'!$B$2:$B$5,B5)</f>
        <v>99</v>
      </c>
    </row>
    <row r="7" spans="1:5" ht="20" customHeight="1">
      <c r="A7" s="1" t="s">
        <v>25</v>
      </c>
    </row>
  </sheetData>
  <pageMargins left="0.3" right="0.3" top="0.4" bottom="0.4" header="0.3" footer="0.3"/>
  <pageSetup paperSize="9" orientation="landscape"/>
  <tableParts count="1">
    <tablePart r:id="rId1"/>
  </tableParts>
</worksheet>
</file>

<file path=xl/worksheets/sheet3.xml><?xml version="1.0" encoding="utf-8"?>
<worksheet xmlns="http://schemas.openxmlformats.org/spreadsheetml/2006/main" xmlns:r="http://schemas.openxmlformats.org/officeDocument/2006/relationships">
  <sheetPr>
    <pageSetUpPr fitToPage="1"/>
  </sheetPr>
  <dimension ref="A1:J13"/>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20" customHeight="1"/>
  <cols>
    <col min="1" max="2" width="18.7109375" style="1" customWidth="1"/>
    <col min="3" max="10" width="20.7109375" style="2" customWidth="1"/>
  </cols>
  <sheetData>
    <row r="1" spans="1:10" ht="30" customHeight="1">
      <c r="A1" s="3" t="s">
        <v>0</v>
      </c>
      <c r="B1" s="3" t="s">
        <v>1</v>
      </c>
      <c r="C1" s="3" t="s">
        <v>2</v>
      </c>
      <c r="D1" s="3" t="s">
        <v>3</v>
      </c>
      <c r="E1" s="3" t="s">
        <v>4</v>
      </c>
      <c r="F1" s="3" t="s">
        <v>5</v>
      </c>
      <c r="G1" s="3" t="s">
        <v>6</v>
      </c>
      <c r="H1" s="3" t="s">
        <v>7</v>
      </c>
      <c r="I1" s="3" t="s">
        <v>8</v>
      </c>
      <c r="J1" s="3" t="s">
        <v>9</v>
      </c>
    </row>
    <row r="2" spans="1:10" ht="20" customHeight="1">
      <c r="A2" s="1" t="s">
        <v>10</v>
      </c>
      <c r="B2" s="1" t="s">
        <v>11</v>
      </c>
      <c r="C2" s="2">
        <v>139871</v>
      </c>
      <c r="D2" s="2">
        <v>133393</v>
      </c>
      <c r="E2" s="2">
        <v>6478</v>
      </c>
      <c r="F2" s="2">
        <v>17</v>
      </c>
      <c r="G2" s="2">
        <v>102</v>
      </c>
      <c r="H2" s="2">
        <v>1</v>
      </c>
      <c r="I2" s="2">
        <v>1</v>
      </c>
      <c r="J2" s="2">
        <v>0</v>
      </c>
    </row>
    <row r="3" spans="1:10" ht="20" customHeight="1">
      <c r="A3" s="1" t="s">
        <v>10</v>
      </c>
      <c r="B3" s="1" t="s">
        <v>12</v>
      </c>
      <c r="C3" s="2">
        <v>139871</v>
      </c>
      <c r="D3" s="2">
        <v>133393</v>
      </c>
      <c r="E3" s="2">
        <v>6478</v>
      </c>
      <c r="F3" s="2">
        <v>17</v>
      </c>
      <c r="G3" s="2">
        <v>102</v>
      </c>
      <c r="H3" s="2">
        <v>1</v>
      </c>
      <c r="I3" s="2">
        <v>1</v>
      </c>
      <c r="J3" s="2">
        <v>0</v>
      </c>
    </row>
    <row r="4" spans="1:10" ht="20" customHeight="1">
      <c r="A4" s="1" t="s">
        <v>10</v>
      </c>
      <c r="B4" s="1" t="s">
        <v>13</v>
      </c>
      <c r="C4" s="2">
        <v>129374</v>
      </c>
      <c r="D4" s="2">
        <v>123153</v>
      </c>
      <c r="E4" s="2">
        <v>6221</v>
      </c>
      <c r="F4" s="2">
        <v>16</v>
      </c>
      <c r="G4" s="2">
        <v>102</v>
      </c>
      <c r="H4" s="2">
        <v>1</v>
      </c>
      <c r="I4" s="2">
        <v>1</v>
      </c>
      <c r="J4" s="2">
        <v>0</v>
      </c>
    </row>
    <row r="5" spans="1:10" ht="20" customHeight="1">
      <c r="A5" s="1" t="s">
        <v>14</v>
      </c>
      <c r="B5" s="1" t="s">
        <v>11</v>
      </c>
      <c r="C5" s="2">
        <v>211110</v>
      </c>
      <c r="D5" s="2">
        <v>208249</v>
      </c>
      <c r="E5" s="2">
        <v>2861</v>
      </c>
      <c r="F5" s="2">
        <v>24</v>
      </c>
      <c r="G5" s="2">
        <v>25</v>
      </c>
      <c r="H5" s="2">
        <v>1</v>
      </c>
      <c r="I5" s="2">
        <v>0</v>
      </c>
      <c r="J5" s="2">
        <v>0</v>
      </c>
    </row>
    <row r="6" spans="1:10" ht="20" customHeight="1">
      <c r="A6" s="1" t="s">
        <v>14</v>
      </c>
      <c r="B6" s="1" t="s">
        <v>12</v>
      </c>
      <c r="C6" s="2">
        <v>211110</v>
      </c>
      <c r="D6" s="2">
        <v>208249</v>
      </c>
      <c r="E6" s="2">
        <v>2861</v>
      </c>
      <c r="F6" s="2">
        <v>24</v>
      </c>
      <c r="G6" s="2">
        <v>25</v>
      </c>
      <c r="H6" s="2">
        <v>1</v>
      </c>
      <c r="I6" s="2">
        <v>0</v>
      </c>
      <c r="J6" s="2">
        <v>0</v>
      </c>
    </row>
    <row r="7" spans="1:10" ht="20" customHeight="1">
      <c r="A7" s="1" t="s">
        <v>14</v>
      </c>
      <c r="B7" s="1" t="s">
        <v>13</v>
      </c>
      <c r="C7" s="2">
        <v>211110</v>
      </c>
      <c r="D7" s="2">
        <v>208249</v>
      </c>
      <c r="E7" s="2">
        <v>2861</v>
      </c>
      <c r="F7" s="2">
        <v>24</v>
      </c>
      <c r="G7" s="2">
        <v>25</v>
      </c>
      <c r="H7" s="2">
        <v>1</v>
      </c>
      <c r="I7" s="2">
        <v>0</v>
      </c>
      <c r="J7" s="2">
        <v>0</v>
      </c>
    </row>
    <row r="8" spans="1:10" ht="20" customHeight="1">
      <c r="A8" s="1" t="s">
        <v>15</v>
      </c>
      <c r="B8" s="1" t="s">
        <v>11</v>
      </c>
      <c r="C8" s="2">
        <v>102087</v>
      </c>
      <c r="D8" s="2">
        <v>99160</v>
      </c>
      <c r="E8" s="2">
        <v>2927</v>
      </c>
      <c r="F8" s="2">
        <v>13</v>
      </c>
      <c r="G8" s="2">
        <v>13</v>
      </c>
      <c r="H8" s="2">
        <v>1</v>
      </c>
      <c r="I8" s="2">
        <v>0</v>
      </c>
      <c r="J8" s="2">
        <v>0</v>
      </c>
    </row>
    <row r="9" spans="1:10" ht="20" customHeight="1">
      <c r="A9" s="1" t="s">
        <v>15</v>
      </c>
      <c r="B9" s="1" t="s">
        <v>12</v>
      </c>
      <c r="C9" s="2">
        <v>102087</v>
      </c>
      <c r="D9" s="2">
        <v>99160</v>
      </c>
      <c r="E9" s="2">
        <v>2927</v>
      </c>
      <c r="F9" s="2">
        <v>13</v>
      </c>
      <c r="G9" s="2">
        <v>13</v>
      </c>
      <c r="H9" s="2">
        <v>1</v>
      </c>
      <c r="I9" s="2">
        <v>0</v>
      </c>
      <c r="J9" s="2">
        <v>0</v>
      </c>
    </row>
    <row r="10" spans="1:10" ht="20" customHeight="1">
      <c r="A10" s="1" t="s">
        <v>15</v>
      </c>
      <c r="B10" s="1" t="s">
        <v>13</v>
      </c>
      <c r="C10" s="2">
        <v>102087</v>
      </c>
      <c r="D10" s="2">
        <v>99160</v>
      </c>
      <c r="E10" s="2">
        <v>2927</v>
      </c>
      <c r="F10" s="2">
        <v>13</v>
      </c>
      <c r="G10" s="2">
        <v>13</v>
      </c>
      <c r="H10" s="2">
        <v>1</v>
      </c>
      <c r="I10" s="2">
        <v>0</v>
      </c>
      <c r="J10" s="2">
        <v>0</v>
      </c>
    </row>
    <row r="11" spans="1:10" ht="20" customHeight="1">
      <c r="A11" s="1" t="s">
        <v>16</v>
      </c>
      <c r="B11" s="1" t="s">
        <v>11</v>
      </c>
      <c r="C11" s="2">
        <v>440461</v>
      </c>
      <c r="D11" s="2">
        <v>427958</v>
      </c>
      <c r="E11" s="2">
        <v>12503</v>
      </c>
      <c r="F11" s="2">
        <v>32</v>
      </c>
      <c r="G11" s="2">
        <v>77</v>
      </c>
      <c r="H11" s="2">
        <v>1</v>
      </c>
      <c r="I11" s="2">
        <v>1</v>
      </c>
      <c r="J11" s="2">
        <v>0</v>
      </c>
    </row>
    <row r="12" spans="1:10" ht="20" customHeight="1">
      <c r="A12" s="1" t="s">
        <v>16</v>
      </c>
      <c r="B12" s="1" t="s">
        <v>12</v>
      </c>
      <c r="C12" s="2">
        <v>332588</v>
      </c>
      <c r="D12" s="2">
        <v>319446</v>
      </c>
      <c r="E12" s="2">
        <v>13142</v>
      </c>
      <c r="F12" s="2">
        <v>31</v>
      </c>
      <c r="G12" s="2">
        <v>76</v>
      </c>
      <c r="H12" s="2">
        <v>1</v>
      </c>
      <c r="I12" s="2">
        <v>2</v>
      </c>
      <c r="J12" s="2">
        <v>0</v>
      </c>
    </row>
    <row r="13" spans="1:10" ht="20" customHeight="1">
      <c r="A13" s="1" t="s">
        <v>16</v>
      </c>
      <c r="B13" s="1" t="s">
        <v>13</v>
      </c>
      <c r="C13" s="2">
        <v>394351</v>
      </c>
      <c r="D13" s="2">
        <v>378124</v>
      </c>
      <c r="E13" s="2">
        <v>16227</v>
      </c>
      <c r="F13" s="2">
        <v>35</v>
      </c>
      <c r="G13" s="2">
        <v>67</v>
      </c>
      <c r="H13" s="2">
        <v>1</v>
      </c>
      <c r="I13" s="2">
        <v>2</v>
      </c>
      <c r="J13" s="2">
        <v>0</v>
      </c>
    </row>
  </sheetData>
  <pageMargins left="0.3" right="0.3" top="0.4" bottom="0.4" header="0.3" footer="0.3"/>
  <pageSetup paperSize="9" orientation="landscape"/>
  <tableParts count="1">
    <tablePart r:id="rId1"/>
  </tableParts>
</worksheet>
</file>

<file path=xl/worksheets/sheet4.xml><?xml version="1.0" encoding="utf-8"?>
<worksheet xmlns="http://schemas.openxmlformats.org/spreadsheetml/2006/main" xmlns:r="http://schemas.openxmlformats.org/officeDocument/2006/relationships">
  <sheetPr>
    <pageSetUpPr fitToPage="1"/>
  </sheetPr>
  <dimension ref="A1:J5"/>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20" customHeight="1"/>
  <cols>
    <col min="1" max="2" width="18.7109375" style="1" customWidth="1"/>
    <col min="3" max="10" width="20.7109375" style="2" customWidth="1"/>
  </cols>
  <sheetData>
    <row r="1" spans="1:9" ht="30" customHeight="1">
      <c r="A1" s="3" t="s">
        <v>17</v>
      </c>
      <c r="B1" s="3" t="s">
        <v>18</v>
      </c>
      <c r="C1" s="3" t="s">
        <v>2</v>
      </c>
      <c r="D1" s="3" t="s">
        <v>3</v>
      </c>
      <c r="E1" s="3" t="s">
        <v>4</v>
      </c>
      <c r="F1" s="3" t="s">
        <v>5</v>
      </c>
      <c r="G1" s="3" t="s">
        <v>6</v>
      </c>
      <c r="H1" s="3" t="s">
        <v>7</v>
      </c>
      <c r="I1" s="3" t="s">
        <v>9</v>
      </c>
    </row>
    <row r="2" spans="1:9" ht="20" customHeight="1">
      <c r="A2" s="1" t="s">
        <v>19</v>
      </c>
      <c r="B2" s="1" t="s">
        <v>20</v>
      </c>
      <c r="C2" s="2">
        <v>130439</v>
      </c>
      <c r="D2" s="2">
        <v>124502</v>
      </c>
      <c r="E2" s="2">
        <v>5937</v>
      </c>
      <c r="F2" s="2">
        <v>15</v>
      </c>
      <c r="G2" s="2">
        <v>104</v>
      </c>
      <c r="H2" s="2">
        <v>1</v>
      </c>
      <c r="I2" s="2">
        <v>0</v>
      </c>
    </row>
    <row r="3" spans="1:9" ht="20" customHeight="1">
      <c r="A3" s="1" t="s">
        <v>19</v>
      </c>
      <c r="B3" s="1" t="s">
        <v>21</v>
      </c>
      <c r="C3" s="2">
        <v>91116</v>
      </c>
      <c r="D3" s="2">
        <v>85628</v>
      </c>
      <c r="E3" s="2">
        <v>5488</v>
      </c>
      <c r="F3" s="2">
        <v>13</v>
      </c>
      <c r="G3" s="2">
        <v>100</v>
      </c>
      <c r="H3" s="2">
        <v>1</v>
      </c>
      <c r="I3" s="2">
        <v>0</v>
      </c>
    </row>
    <row r="4" spans="1:9" ht="20" customHeight="1">
      <c r="A4" s="1" t="s">
        <v>22</v>
      </c>
      <c r="B4" s="1" t="s">
        <v>20</v>
      </c>
      <c r="C4" s="2">
        <v>151664</v>
      </c>
      <c r="D4" s="2">
        <v>143592</v>
      </c>
      <c r="E4" s="2">
        <v>8072</v>
      </c>
      <c r="F4" s="2">
        <v>14</v>
      </c>
      <c r="G4" s="2">
        <v>103</v>
      </c>
      <c r="H4" s="2">
        <v>1</v>
      </c>
      <c r="I4" s="2">
        <v>0</v>
      </c>
    </row>
    <row r="5" spans="1:9" ht="20" customHeight="1">
      <c r="A5" s="1" t="s">
        <v>22</v>
      </c>
      <c r="B5" s="1" t="s">
        <v>21</v>
      </c>
      <c r="C5" s="2">
        <v>112233</v>
      </c>
      <c r="D5" s="2">
        <v>104704</v>
      </c>
      <c r="E5" s="2">
        <v>7529</v>
      </c>
      <c r="F5" s="2">
        <v>12</v>
      </c>
      <c r="G5" s="2">
        <v>99</v>
      </c>
      <c r="H5" s="2">
        <v>1</v>
      </c>
      <c r="I5" s="2">
        <v>0</v>
      </c>
    </row>
  </sheetData>
  <pageMargins left="0.3" right="0.3" top="0.4" bottom="0.4" header="0.3" footer="0.3"/>
  <pageSetup paperSize="9" orientation="landscape"/>
  <tableParts count="1">
    <tablePart r:id="rId1"/>
  </tableParts>
</worksheet>
</file>

<file path=xl/worksheets/sheet5.xml><?xml version="1.0" encoding="utf-8"?>
<worksheet xmlns="http://schemas.openxmlformats.org/spreadsheetml/2006/main" xmlns:r="http://schemas.openxmlformats.org/officeDocument/2006/relationships">
  <sheetPr>
    <pageSetUpPr fitToPage="1"/>
  </sheetPr>
  <dimension ref="A1:J21"/>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20" customHeight="1"/>
  <cols>
    <col min="1" max="1" width="18.7109375" style="1" customWidth="1"/>
    <col min="2" max="10" width="20.7109375" style="2" customWidth="1"/>
  </cols>
  <sheetData>
    <row r="1" spans="1:7" ht="20" customHeight="1">
      <c r="A1" s="3" t="s">
        <v>26</v>
      </c>
    </row>
    <row r="2" spans="1:7" ht="20" customHeight="1">
      <c r="A2" s="3" t="s">
        <v>1</v>
      </c>
      <c r="B2" s="3" t="s">
        <v>2</v>
      </c>
      <c r="C2" s="3" t="s">
        <v>27</v>
      </c>
      <c r="D2" s="3" t="s">
        <v>8</v>
      </c>
      <c r="E2" s="3" t="s">
        <v>9</v>
      </c>
    </row>
    <row r="3" spans="1:7" ht="20" customHeight="1">
      <c r="A3" s="1" t="s">
        <v>11</v>
      </c>
      <c r="B3" s="2">
        <f>SUMIFS('実験A_実行'!$C$2:$C$13,'実験A_実行'!$B$2:$B$13,A3)</f>
        <v>893529</v>
      </c>
      <c r="C3" s="2">
        <f>COUNTIFS('実験A_実行'!$B$2:$B$13,A3,'実験A_実行'!$H$2:$H$13,1)</f>
        <v>4</v>
      </c>
      <c r="D3" s="2">
        <f>SUMIFS('実験A_実行'!$I$2:$I$13,'実験A_実行'!$B$2:$B$13,A3)</f>
        <v>2</v>
      </c>
      <c r="E3" s="2">
        <f>SUMIFS('実験A_実行'!$J$2:$J$13,'実験A_実行'!$B$2:$B$13,A3)</f>
        <v>0</v>
      </c>
    </row>
    <row r="4" spans="1:7" ht="20" customHeight="1">
      <c r="A4" s="1" t="s">
        <v>12</v>
      </c>
      <c r="B4" s="2">
        <f>SUMIFS('実験A_実行'!$C$2:$C$13,'実験A_実行'!$B$2:$B$13,A4)</f>
        <v>785656</v>
      </c>
      <c r="C4" s="2">
        <f>COUNTIFS('実験A_実行'!$B$2:$B$13,A4,'実験A_実行'!$H$2:$H$13,1)</f>
        <v>4</v>
      </c>
      <c r="D4" s="2">
        <f>SUMIFS('実験A_実行'!$I$2:$I$13,'実験A_実行'!$B$2:$B$13,A4)</f>
        <v>3</v>
      </c>
      <c r="E4" s="2">
        <f>SUMIFS('実験A_実行'!$J$2:$J$13,'実験A_実行'!$B$2:$B$13,A4)</f>
        <v>0</v>
      </c>
    </row>
    <row r="5" spans="1:7" ht="20" customHeight="1">
      <c r="A5" s="1" t="s">
        <v>13</v>
      </c>
      <c r="B5" s="2">
        <f>SUMIFS('実験A_実行'!$C$2:$C$13,'実験A_実行'!$B$2:$B$13,A5)</f>
        <v>836922</v>
      </c>
      <c r="C5" s="2">
        <f>COUNTIFS('実験A_実行'!$B$2:$B$13,A5,'実験A_実行'!$H$2:$H$13,1)</f>
        <v>4</v>
      </c>
      <c r="D5" s="2">
        <f>SUMIFS('実験A_実行'!$I$2:$I$13,'実験A_実行'!$B$2:$B$13,A5)</f>
        <v>3</v>
      </c>
      <c r="E5" s="2">
        <f>SUMIFS('実験A_実行'!$J$2:$J$13,'実験A_実行'!$B$2:$B$13,A5)</f>
        <v>0</v>
      </c>
    </row>
    <row r="8" spans="1:7" ht="20" customHeight="1">
      <c r="A8" s="3" t="s">
        <v>28</v>
      </c>
    </row>
    <row r="9" spans="1:7" ht="34" customHeight="1">
      <c r="A9" s="3" t="s">
        <v>17</v>
      </c>
      <c r="B9" s="3" t="s">
        <v>20</v>
      </c>
      <c r="C9" s="3" t="s">
        <v>21</v>
      </c>
      <c r="D9" s="3" t="s">
        <v>29</v>
      </c>
      <c r="E9" s="3" t="s">
        <v>30</v>
      </c>
      <c r="F9" s="3" t="s">
        <v>31</v>
      </c>
      <c r="G9" s="3" t="s">
        <v>9</v>
      </c>
    </row>
    <row r="10" spans="1:7" ht="20" customHeight="1">
      <c r="A10" s="1" t="s">
        <v>19</v>
      </c>
      <c r="B10" s="2">
        <f>SUMIFS('実験B_実行'!$C$2:$C$5,'実験B_実行'!$A$2:$A$5,A10,'実験B_実行'!$B$2:$B$5,B$9)</f>
        <v>130439</v>
      </c>
      <c r="C10" s="2">
        <f>SUMIFS('実験B_実行'!$C$2:$C$5,'実験B_実行'!$A$2:$A$5,A10,'実験B_実行'!$B$2:$B$5,C$9)</f>
        <v>91116</v>
      </c>
      <c r="D10" s="5">
        <f>(B10-C10)/B10</f>
        <v>0.3014665859137221</v>
      </c>
      <c r="E10" s="2">
        <f>COUNTIFS('実験B_実行'!$A$2:$A$5,A10,'実験B_実行'!$B$2:$B$5,B$9,'実験B_実行'!$H$2:$H$5,1)</f>
        <v>1</v>
      </c>
      <c r="F10" s="2">
        <f>COUNTIFS('実験B_実行'!$A$2:$A$5,A10,'実験B_実行'!$B$2:$B$5,C$9,'実験B_実行'!$H$2:$H$5,1)</f>
        <v>1</v>
      </c>
      <c r="G10" s="2">
        <f>SUMIFS('実験B_実行'!$I$2:$I$5,'実験B_実行'!$A$2:$A$5,A10)</f>
        <v>0</v>
      </c>
    </row>
    <row r="11" spans="1:7" ht="20" customHeight="1">
      <c r="A11" s="1" t="s">
        <v>22</v>
      </c>
      <c r="B11" s="2">
        <f>SUMIFS('実験B_実行'!$C$2:$C$5,'実験B_実行'!$A$2:$A$5,A11,'実験B_実行'!$B$2:$B$5,B$9)</f>
        <v>151664</v>
      </c>
      <c r="C11" s="2">
        <f>SUMIFS('実験B_実行'!$C$2:$C$5,'実験B_実行'!$A$2:$A$5,A11,'実験B_実行'!$B$2:$B$5,C$9)</f>
        <v>112233</v>
      </c>
      <c r="D11" s="5">
        <f>(B11-C11)/B11</f>
        <v>0.25998918662306153</v>
      </c>
      <c r="E11" s="2">
        <f>COUNTIFS('実験B_実行'!$A$2:$A$5,A11,'実験B_実行'!$B$2:$B$5,B$9,'実験B_実行'!$H$2:$H$5,1)</f>
        <v>1</v>
      </c>
      <c r="F11" s="2">
        <f>COUNTIFS('実験B_実行'!$A$2:$A$5,A11,'実験B_実行'!$B$2:$B$5,C$9,'実験B_実行'!$H$2:$H$5,1)</f>
        <v>1</v>
      </c>
      <c r="G11" s="2">
        <f>SUMIFS('実験B_実行'!$I$2:$I$5,'実験B_実行'!$A$2:$A$5,A11)</f>
        <v>0</v>
      </c>
    </row>
    <row r="15" spans="1:7" ht="20" customHeight="1">
      <c r="A15" s="3" t="s">
        <v>32</v>
      </c>
    </row>
    <row r="16" spans="1:7" ht="20" customHeight="1">
      <c r="A16" s="3" t="s">
        <v>33</v>
      </c>
      <c r="B16" s="3" t="s">
        <v>34</v>
      </c>
      <c r="C16" s="3" t="s">
        <v>35</v>
      </c>
      <c r="D16" s="3" t="s">
        <v>36</v>
      </c>
    </row>
    <row r="17" spans="1:4" ht="20" customHeight="1">
      <c r="A17" s="1" t="s">
        <v>12</v>
      </c>
      <c r="B17" s="1" t="s">
        <v>11</v>
      </c>
      <c r="C17" s="2">
        <f>B4-B3</f>
        <v>-107873</v>
      </c>
      <c r="D17" s="5">
        <f>C17/B3</f>
        <v>-0.12072691541069176</v>
      </c>
    </row>
    <row r="18" spans="1:4" ht="20" customHeight="1">
      <c r="A18" s="1" t="s">
        <v>13</v>
      </c>
      <c r="B18" s="1" t="s">
        <v>11</v>
      </c>
      <c r="C18" s="2">
        <f>B5-B3</f>
        <v>-56607</v>
      </c>
      <c r="D18" s="5">
        <f>C18/B3</f>
        <v>-0.06335216876005144</v>
      </c>
    </row>
    <row r="19" spans="1:4" ht="20" customHeight="1">
      <c r="A19" s="1" t="s">
        <v>13</v>
      </c>
      <c r="B19" s="1" t="s">
        <v>12</v>
      </c>
      <c r="C19" s="2">
        <f>B5-B4</f>
        <v>51266</v>
      </c>
      <c r="D19" s="5">
        <f>C19/B4</f>
        <v>0.06525247691101449</v>
      </c>
    </row>
    <row r="21" spans="1:4" ht="20" customHeight="1">
      <c r="A21" s="1" t="s">
        <v>37</v>
      </c>
    </row>
  </sheetData>
  <pageMargins left="0.3" right="0.3" top="0.4" bottom="0.4" header="0.3" footer="0.3"/>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表1_要約方式</vt:lpstr>
      <vt:lpstr>表2_終了制御</vt:lpstr>
      <vt:lpstr>実験A_実行</vt:lpstr>
      <vt:lpstr>実験B_実行</vt:lpstr>
      <vt:lpstr>集計</vt:lpstr>
      <vt:lpstr>実験A_実行!Print_Area</vt:lpstr>
      <vt:lpstr>実験B_実行!Print_Area</vt:lpstr>
      <vt:lpstr>表1_要約方式!Print_Area</vt:lpstr>
      <vt:lpstr>表2_終了制御!Print_Area</vt:lpstr>
      <vt:lpstr>集計!Print_Area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履歴要約方式と終了制御の結果表</dc:title>
  <dc:creator/>
  <dc:description>Frozen study A/B results; independent studies; no result graphs.</dc:description>
  <cp:lastModifiedBy/>
  <dcterms:created xsi:type="dcterms:W3CDTF">2026-10-30T00:00:00Z</dcterms:created>
  <dcterms:modified xsi:type="dcterms:W3CDTF">2026-10-30T00:00:00Z</dcterms:modified>
</cp:coreProperties>
</file>