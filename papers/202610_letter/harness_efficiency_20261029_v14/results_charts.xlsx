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図2_実験A" sheetId="1" r:id="rId1"/>
    <sheet name="図3_実験B" sheetId="2" r:id="rId2"/>
    <sheet name="実験A_結果" sheetId="3" r:id="rId3"/>
    <sheet name="実験B_結果" sheetId="4" r:id="rId4"/>
    <sheet name="集計" sheetId="5" r:id="rId5"/>
    <sheet name="説明" sheetId="6" r:id="rId6"/>
  </sheets>
  <definedNames>
    <definedName name="_xlnm._FilterDatabase" localSheetId="2" hidden="1">実験A_結果!$A$1:$J$13</definedName>
    <definedName name="_xlnm._FilterDatabase" localSheetId="3" hidden="1">実験B_結果!$A$1:$I$5</definedName>
    <definedName name="_xlnm.Print_Area" localSheetId="0">図2_実験A!$A$1:$N$31</definedName>
    <definedName name="_xlnm.Print_Area" localSheetId="1">図3_実験B!$A$1:$N$31</definedName>
    <definedName name="_xlnm.Print_Area" localSheetId="2">実験A_結果!$A$1:$J$13</definedName>
    <definedName name="_xlnm.Print_Area" localSheetId="3">実験B_結果!$A$1:$I$5</definedName>
    <definedName name="_xlnm.Print_Area" localSheetId="5">説明!$A$1:$A$11</definedName>
    <definedName name="_xlnm.Print_Area" localSheetId="4">集計!$A$1:$G$16</definedName>
  </definedNames>
  <calcPr calcId="124519" fullCalcOnLoad="1"/>
</workbook>
</file>

<file path=xl/sharedStrings.xml><?xml version="1.0" encoding="utf-8"?>
<sst xmlns="http://schemas.openxmlformats.org/spreadsheetml/2006/main" count="86" uniqueCount="44">
  <si>
    <t>課題</t>
  </si>
  <si>
    <t>方式</t>
  </si>
  <si>
    <t>総トークン数</t>
  </si>
  <si>
    <t>入力トークン数</t>
  </si>
  <si>
    <t>出力トークン数</t>
  </si>
  <si>
    <t>モデル呼出し数</t>
  </si>
  <si>
    <t>API要求数</t>
  </si>
  <si>
    <t>成功</t>
  </si>
  <si>
    <t>要約採用回数</t>
  </si>
  <si>
    <t>使用量不明件数</t>
  </si>
  <si>
    <t>API条件</t>
  </si>
  <si>
    <t>終了方法</t>
  </si>
  <si>
    <t>写真操作</t>
  </si>
  <si>
    <t>Single</t>
  </si>
  <si>
    <t>Separate</t>
  </si>
  <si>
    <t>Inline</t>
  </si>
  <si>
    <t>精算</t>
  </si>
  <si>
    <t>返金</t>
  </si>
  <si>
    <t>CSV処理</t>
  </si>
  <si>
    <t>文書必須</t>
  </si>
  <si>
    <t>通常継続</t>
  </si>
  <si>
    <t>完了判定</t>
  </si>
  <si>
    <t>名前参照</t>
  </si>
  <si>
    <t>実験A：4課題の合計と内訳</t>
  </si>
  <si>
    <t>その他3課題</t>
  </si>
  <si>
    <t>合計</t>
  </si>
  <si>
    <t>成功数</t>
  </si>
  <si>
    <t>B〜D列：トークン、F〜G列：千トークン</t>
  </si>
  <si>
    <t>実験B：同じ写真課題の2条件</t>
  </si>
  <si>
    <t>削減率</t>
  </si>
  <si>
    <t>グラフの注記</t>
  </si>
  <si>
    <t>B〜C列：トークン、F〜G列：千トークン</t>
  </si>
  <si>
    <t>実験AとBは別々に評価する。両者の削減率を合算しない。</t>
  </si>
  <si>
    <t>編集方法：結果表を編集すると、集計式と棒の高さが更新される。</t>
  </si>
  <si>
    <t>グラフはExcelのネイティブグラフであり、色・軸・凡例・ラベルを編集できる。</t>
  </si>
  <si>
    <t>図3の削減率注記は編集可能な文字ラベル。値変更時は集計D/E列の値に合わせてラベルも編集する。</t>
  </si>
  <si>
    <t>削減率注記を文字ラベルとしたのは、LibreOfficeで同じグラフを書き出すための互換対応。</t>
  </si>
  <si>
    <t>図2／図3シートは原稿への出力用。グラフに図番号や長い説明は含めない。</t>
  </si>
  <si>
    <t>総トークン数は入力と出力の合計。要約生成を含む全モデル呼出しを集計する。</t>
  </si>
  <si>
    <t>キャッシュされた入力も含む論理トークン数であり、金銭課金や時間ではない。</t>
  </si>
  <si>
    <t>成功は実行終了後の公式評価器による。全12実行／全4実行で成功、使用量欠測なし。</t>
  </si>
  <si>
    <t>実験AとBは独立した既知課題の比較であり、組合せ効果や一般的な品質保証は評価していない。</t>
  </si>
  <si>
    <t>実験Bでは13データベースのハッシュが一致したが、要求・応答全文の厳密な先頭一致は成立しなかった。</t>
  </si>
  <si>
    <t>元データ：同梱のresults_data.json。新しい実験値は追加していない。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</si>
</sst>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"/>
    <numFmt numFmtId="166" formatCode="0.00%"/>
  </numFmts>
  <fonts count="3">
    <font>
      <sz val="11"/>
      <color theme="1"/>
      <name val="Calibri"/>
      <family val="2"/>
      <scheme val="minor"/>
    </font>
    <font>
      <sz val="11"/>
      <color theme="1"/>
      <name val="Hiragino Sans"/>
      <family val="2"/>
    </font>
    <font>
      <b/>
      <sz val="11"/>
      <color theme="1"/>
      <name val="Hiragin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F0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wrapText="1"/>
    </xf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23499999999999999"/>
          <c:y val="0.19"/>
          <c:w val="0.72499999999999998"/>
          <c:h val="0.65000000000000002"/>
        </c:manualLayout>
      </c:layout>
      <c:barChart>
        <c:barDir val="col"/>
        <c:grouping val="stacked"/>
        <c:ser>
          <c:idx val="0"/>
          <c:order val="0"/>
          <c:tx>
            <c:strRef>
              <c:f>'集計'!$F$2</c:f>
              <c:strCache>
                <c:ptCount val="1"/>
                <c:pt idx="0">
                  <c:v>その他3課題</c:v>
                </c:pt>
              </c:strCache>
            </c:strRef>
          </c:tx>
          <c:spPr>
            <a:solidFill>
              <a:srgbClr val="4C78A8"/>
            </a:solidFill>
            <a:ln>
              <a:noFill/>
            </a:ln>
          </c:spPr>
          <c:cat>
            <c:strRef>
              <c:f>'集計'!$A$3:$A$5</c:f>
              <c:strCache>
                <c:ptCount val="3"/>
                <c:pt idx="0">
                  <c:v>Single</c:v>
                </c:pt>
                <c:pt idx="1">
                  <c:v>Separate</c:v>
                </c:pt>
                <c:pt idx="2">
                  <c:v>Inline</c:v>
                </c:pt>
              </c:strCache>
            </c:strRef>
          </c:cat>
          <c:val>
            <c:numRef>
              <c:f>'集計'!$F$3:$F$5</c:f>
              <c:numCache>
                <c:formatCode>General</c:formatCode>
                <c:ptCount val="3"/>
                <c:pt idx="0">
                  <c:v>453.068</c:v>
                </c:pt>
                <c:pt idx="1">
                  <c:v>453.068</c:v>
                </c:pt>
                <c:pt idx="2">
                  <c:v>442.571</c:v>
                </c:pt>
              </c:numCache>
            </c:numRef>
          </c:val>
        </c:ser>
        <c:ser>
          <c:idx val="1"/>
          <c:order val="1"/>
          <c:tx>
            <c:strRef>
              <c:f>'集計'!$G$2</c:f>
              <c:strCache>
                <c:ptCount val="1"/>
                <c:pt idx="0">
                  <c:v>CSV処理</c:v>
                </c:pt>
              </c:strCache>
            </c:strRef>
          </c:tx>
          <c:spPr>
            <a:solidFill>
              <a:srgbClr val="F28E2B"/>
            </a:solidFill>
            <a:ln>
              <a:noFill/>
            </a:ln>
          </c:spPr>
          <c:cat>
            <c:strRef>
              <c:f>'集計'!$A$3:$A$5</c:f>
              <c:strCache>
                <c:ptCount val="3"/>
                <c:pt idx="0">
                  <c:v>Single</c:v>
                </c:pt>
                <c:pt idx="1">
                  <c:v>Separate</c:v>
                </c:pt>
                <c:pt idx="2">
                  <c:v>Inline</c:v>
                </c:pt>
              </c:strCache>
            </c:strRef>
          </c:cat>
          <c:val>
            <c:numRef>
              <c:f>'集計'!$G$3:$G$5</c:f>
              <c:numCache>
                <c:formatCode>General</c:formatCode>
                <c:ptCount val="3"/>
                <c:pt idx="0">
                  <c:v>440.461</c:v>
                </c:pt>
                <c:pt idx="1">
                  <c:v>332.588</c:v>
                </c:pt>
                <c:pt idx="2">
                  <c:v>394.351</c:v>
                </c:pt>
              </c:numCache>
            </c:numRef>
          </c:val>
        </c:ser>
        <c:gapWidth val="55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 w="12700">
            <a:solidFill>
              <a:srgbClr val="555555"/>
            </a:solidFill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0"/>
          <c:min val="0"/>
        </c:scaling>
        <c:axPos val="l"/>
        <c:majorGridlines>
          <c:spPr>
            <a:ln w="9525">
              <a:solidFill>
                <a:srgbClr val="DDDDDD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600" baseline="0">
                    <a:solidFill>
                      <a:srgbClr val="222222"/>
                    </a:solidFill>
                    <a:latin typeface="Hiragino Sans"/>
                  </a:defRPr>
                </a:pPr>
                <a:r>
                  <a:rPr lang="en-US" sz="1600" baseline="0">
                    <a:solidFill>
                      <a:srgbClr val="222222"/>
                    </a:solidFill>
                    <a:latin typeface="Hiragino Sans"/>
                  </a:rPr>
                  <a:t>総トークン数（千トークン）</a:t>
                </a:r>
              </a:p>
            </c:rich>
          </c:tx>
          <c:layout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10001"/>
        <c:crosses val="autoZero"/>
        <c:crossBetween val="between"/>
        <c:majorUnit val="2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1600" baseline="0">
              <a:solidFill>
                <a:srgbClr val="222222"/>
              </a:solidFill>
              <a:latin typeface="Hiragino Sans"/>
            </a:defRPr>
          </a:pPr>
          <a:endParaRPr lang="en-US"/>
        </a:p>
      </c:txPr>
      <c:spPr>
        <a:ln>
          <a:noFill/>
        </a:ln>
      </c:sp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23499999999999999"/>
          <c:y val="0.19"/>
          <c:w val="0.72499999999999998"/>
          <c:h val="0.65000000000000002"/>
        </c:manualLayout>
      </c:layout>
      <c:barChart>
        <c:barDir val="col"/>
        <c:grouping val="clustered"/>
        <c:ser>
          <c:idx val="0"/>
          <c:order val="0"/>
          <c:tx>
            <c:strRef>
              <c:f>'集計'!$F$10</c:f>
              <c:strCache>
                <c:ptCount val="1"/>
                <c:pt idx="0">
                  <c:v>通常継続</c:v>
                </c:pt>
              </c:strCache>
            </c:strRef>
          </c:tx>
          <c:spPr>
            <a:solidFill>
              <a:srgbClr val="4C78A8"/>
            </a:solidFill>
            <a:ln>
              <a:noFill/>
            </a:ln>
          </c:spP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sz="1600" baseline="0">
                        <a:solidFill>
                          <a:srgbClr val="222222"/>
                        </a:solidFill>
                        <a:latin typeface="Hiragino Sans"/>
                      </a:rPr>
                      <a:t>30.15%減</a:t>
                    </a:r>
                  </a:p>
                </c:rich>
              </c:tx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 sz="1600" baseline="0">
                        <a:solidFill>
                          <a:srgbClr val="222222"/>
                        </a:solidFill>
                        <a:latin typeface="Hiragino Sans"/>
                      </a:rPr>
                      <a:t>26.00%減</a:t>
                    </a:r>
                  </a:p>
                </c:rich>
              </c:tx>
              <c:showVal val="1"/>
            </c:dLbl>
            <c:txPr>
              <a:bodyPr/>
              <a:lstStyle/>
              <a:p>
                <a:pPr>
                  <a:defRPr sz="1600" baseline="0">
                    <a:solidFill>
                      <a:srgbClr val="222222"/>
                    </a:solidFill>
                    <a:latin typeface="Hiragino Sans"/>
                  </a:defRPr>
                </a:pPr>
                <a:endParaRPr lang="en-US"/>
              </a:p>
            </c:txPr>
            <c:showVal val="1"/>
          </c:dLbls>
          <c:cat>
            <c:strRef>
              <c:f>'集計'!$A$11:$A$12</c:f>
              <c:strCache>
                <c:ptCount val="2"/>
                <c:pt idx="0">
                  <c:v>文書必須</c:v>
                </c:pt>
                <c:pt idx="1">
                  <c:v>名前参照</c:v>
                </c:pt>
              </c:strCache>
            </c:strRef>
          </c:cat>
          <c:val>
            <c:numRef>
              <c:f>'集計'!$F$11:$F$12</c:f>
              <c:numCache>
                <c:formatCode>General</c:formatCode>
                <c:ptCount val="2"/>
                <c:pt idx="0">
                  <c:v>130.439</c:v>
                </c:pt>
                <c:pt idx="1">
                  <c:v>151.664</c:v>
                </c:pt>
              </c:numCache>
            </c:numRef>
          </c:val>
        </c:ser>
        <c:ser>
          <c:idx val="1"/>
          <c:order val="1"/>
          <c:tx>
            <c:strRef>
              <c:f>'集計'!$G$10</c:f>
              <c:strCache>
                <c:ptCount val="1"/>
                <c:pt idx="0">
                  <c:v>完了判定</c:v>
                </c:pt>
              </c:strCache>
            </c:strRef>
          </c:tx>
          <c:spPr>
            <a:solidFill>
              <a:srgbClr val="F28E2B"/>
            </a:solidFill>
            <a:ln>
              <a:noFill/>
            </a:ln>
          </c:spPr>
          <c:cat>
            <c:strRef>
              <c:f>'集計'!$A$11:$A$12</c:f>
              <c:strCache>
                <c:ptCount val="2"/>
                <c:pt idx="0">
                  <c:v>文書必須</c:v>
                </c:pt>
                <c:pt idx="1">
                  <c:v>名前参照</c:v>
                </c:pt>
              </c:strCache>
            </c:strRef>
          </c:cat>
          <c:val>
            <c:numRef>
              <c:f>'集計'!$G$11:$G$12</c:f>
              <c:numCache>
                <c:formatCode>General</c:formatCode>
                <c:ptCount val="2"/>
                <c:pt idx="0">
                  <c:v>91.116</c:v>
                </c:pt>
                <c:pt idx="1">
                  <c:v>112.233</c:v>
                </c:pt>
              </c:numCache>
            </c:numRef>
          </c:val>
        </c:ser>
        <c:gapWidth val="70"/>
        <c:overlap val="-15"/>
        <c:axId val="50020001"/>
        <c:axId val="50020002"/>
      </c:bar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 w="12700">
            <a:solidFill>
              <a:srgbClr val="555555"/>
            </a:solidFill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80"/>
          <c:min val="0"/>
        </c:scaling>
        <c:axPos val="l"/>
        <c:majorGridlines>
          <c:spPr>
            <a:ln w="9525">
              <a:solidFill>
                <a:srgbClr val="DDDDDD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600" baseline="0">
                    <a:solidFill>
                      <a:srgbClr val="222222"/>
                    </a:solidFill>
                    <a:latin typeface="Hiragino Sans"/>
                  </a:defRPr>
                </a:pPr>
                <a:r>
                  <a:rPr lang="en-US" sz="1600" baseline="0">
                    <a:solidFill>
                      <a:srgbClr val="222222"/>
                    </a:solidFill>
                    <a:latin typeface="Hiragino Sans"/>
                  </a:rPr>
                  <a:t>総トークン数（千トークン）</a:t>
                </a:r>
              </a:p>
            </c:rich>
          </c:tx>
          <c:layout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20001"/>
        <c:crosses val="autoZero"/>
        <c:crossBetween val="between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1600" baseline="0">
              <a:solidFill>
                <a:srgbClr val="222222"/>
              </a:solidFill>
              <a:latin typeface="Hiragino Sans"/>
            </a:defRPr>
          </a:pPr>
          <a:endParaRPr lang="en-US"/>
        </a:p>
      </c:txPr>
      <c:spPr>
        <a:ln>
          <a:noFill/>
        </a:ln>
      </c:sp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104775</xdr:colOff>
      <xdr:row>21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104775</xdr:colOff>
      <xdr:row>21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C78A8"/>
  </sheetPr>
  <dimension ref="A1"/>
  <sheetViews>
    <sheetView showGridLines="0" tabSelected="1" workbookViewId="0"/>
  </sheetViews>
  <sheetFormatPr defaultRowHeight="15"/>
  <cols>
    <col min="1" max="14" width="5.7109375" customWidth="1"/>
  </cols>
  <sheetData/>
  <pageMargins left="0.25" right="0.25" top="0.25" bottom="0.2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28E2B"/>
  </sheetPr>
  <dimension ref="A1"/>
  <sheetViews>
    <sheetView showGridLines="0" workbookViewId="0"/>
  </sheetViews>
  <sheetFormatPr defaultRowHeight="15"/>
  <cols>
    <col min="1" max="14" width="5.7109375" customWidth="1"/>
  </cols>
  <sheetData/>
  <pageMargins left="0.25" right="0.25" top="0.25" bottom="0.2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6.7109375" style="1" customWidth="1"/>
    <col min="3" max="10" width="18.7109375" style="2" customWidth="1"/>
  </cols>
  <sheetData>
    <row r="1" spans="1:10" ht="3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12</v>
      </c>
      <c r="B2" s="1" t="s">
        <v>13</v>
      </c>
      <c r="C2" s="2">
        <v>139871</v>
      </c>
      <c r="D2" s="2">
        <v>133393</v>
      </c>
      <c r="E2" s="2">
        <v>6478</v>
      </c>
      <c r="F2" s="2">
        <v>17</v>
      </c>
      <c r="G2" s="2">
        <v>102</v>
      </c>
      <c r="H2" s="2">
        <v>1</v>
      </c>
      <c r="I2" s="2">
        <v>1</v>
      </c>
      <c r="J2" s="2">
        <v>0</v>
      </c>
    </row>
    <row r="3" spans="1:10">
      <c r="A3" s="1" t="s">
        <v>12</v>
      </c>
      <c r="B3" s="1" t="s">
        <v>14</v>
      </c>
      <c r="C3" s="2">
        <v>139871</v>
      </c>
      <c r="D3" s="2">
        <v>133393</v>
      </c>
      <c r="E3" s="2">
        <v>6478</v>
      </c>
      <c r="F3" s="2">
        <v>17</v>
      </c>
      <c r="G3" s="2">
        <v>102</v>
      </c>
      <c r="H3" s="2">
        <v>1</v>
      </c>
      <c r="I3" s="2">
        <v>1</v>
      </c>
      <c r="J3" s="2">
        <v>0</v>
      </c>
    </row>
    <row r="4" spans="1:10">
      <c r="A4" s="1" t="s">
        <v>12</v>
      </c>
      <c r="B4" s="1" t="s">
        <v>15</v>
      </c>
      <c r="C4" s="2">
        <v>129374</v>
      </c>
      <c r="D4" s="2">
        <v>123153</v>
      </c>
      <c r="E4" s="2">
        <v>6221</v>
      </c>
      <c r="F4" s="2">
        <v>16</v>
      </c>
      <c r="G4" s="2">
        <v>102</v>
      </c>
      <c r="H4" s="2">
        <v>1</v>
      </c>
      <c r="I4" s="2">
        <v>1</v>
      </c>
      <c r="J4" s="2">
        <v>0</v>
      </c>
    </row>
    <row r="5" spans="1:10">
      <c r="A5" s="1" t="s">
        <v>16</v>
      </c>
      <c r="B5" s="1" t="s">
        <v>13</v>
      </c>
      <c r="C5" s="2">
        <v>211110</v>
      </c>
      <c r="D5" s="2">
        <v>208249</v>
      </c>
      <c r="E5" s="2">
        <v>2861</v>
      </c>
      <c r="F5" s="2">
        <v>24</v>
      </c>
      <c r="G5" s="2">
        <v>25</v>
      </c>
      <c r="H5" s="2">
        <v>1</v>
      </c>
      <c r="I5" s="2">
        <v>0</v>
      </c>
      <c r="J5" s="2">
        <v>0</v>
      </c>
    </row>
    <row r="6" spans="1:10">
      <c r="A6" s="1" t="s">
        <v>16</v>
      </c>
      <c r="B6" s="1" t="s">
        <v>14</v>
      </c>
      <c r="C6" s="2">
        <v>211110</v>
      </c>
      <c r="D6" s="2">
        <v>208249</v>
      </c>
      <c r="E6" s="2">
        <v>2861</v>
      </c>
      <c r="F6" s="2">
        <v>24</v>
      </c>
      <c r="G6" s="2">
        <v>25</v>
      </c>
      <c r="H6" s="2">
        <v>1</v>
      </c>
      <c r="I6" s="2">
        <v>0</v>
      </c>
      <c r="J6" s="2">
        <v>0</v>
      </c>
    </row>
    <row r="7" spans="1:10">
      <c r="A7" s="1" t="s">
        <v>16</v>
      </c>
      <c r="B7" s="1" t="s">
        <v>15</v>
      </c>
      <c r="C7" s="2">
        <v>211110</v>
      </c>
      <c r="D7" s="2">
        <v>208249</v>
      </c>
      <c r="E7" s="2">
        <v>2861</v>
      </c>
      <c r="F7" s="2">
        <v>24</v>
      </c>
      <c r="G7" s="2">
        <v>25</v>
      </c>
      <c r="H7" s="2">
        <v>1</v>
      </c>
      <c r="I7" s="2">
        <v>0</v>
      </c>
      <c r="J7" s="2">
        <v>0</v>
      </c>
    </row>
    <row r="8" spans="1:10">
      <c r="A8" s="1" t="s">
        <v>17</v>
      </c>
      <c r="B8" s="1" t="s">
        <v>13</v>
      </c>
      <c r="C8" s="2">
        <v>102087</v>
      </c>
      <c r="D8" s="2">
        <v>99160</v>
      </c>
      <c r="E8" s="2">
        <v>2927</v>
      </c>
      <c r="F8" s="2">
        <v>13</v>
      </c>
      <c r="G8" s="2">
        <v>13</v>
      </c>
      <c r="H8" s="2">
        <v>1</v>
      </c>
      <c r="I8" s="2">
        <v>0</v>
      </c>
      <c r="J8" s="2">
        <v>0</v>
      </c>
    </row>
    <row r="9" spans="1:10">
      <c r="A9" s="1" t="s">
        <v>17</v>
      </c>
      <c r="B9" s="1" t="s">
        <v>14</v>
      </c>
      <c r="C9" s="2">
        <v>102087</v>
      </c>
      <c r="D9" s="2">
        <v>99160</v>
      </c>
      <c r="E9" s="2">
        <v>2927</v>
      </c>
      <c r="F9" s="2">
        <v>13</v>
      </c>
      <c r="G9" s="2">
        <v>13</v>
      </c>
      <c r="H9" s="2">
        <v>1</v>
      </c>
      <c r="I9" s="2">
        <v>0</v>
      </c>
      <c r="J9" s="2">
        <v>0</v>
      </c>
    </row>
    <row r="10" spans="1:10">
      <c r="A10" s="1" t="s">
        <v>17</v>
      </c>
      <c r="B10" s="1" t="s">
        <v>15</v>
      </c>
      <c r="C10" s="2">
        <v>102087</v>
      </c>
      <c r="D10" s="2">
        <v>99160</v>
      </c>
      <c r="E10" s="2">
        <v>2927</v>
      </c>
      <c r="F10" s="2">
        <v>13</v>
      </c>
      <c r="G10" s="2">
        <v>13</v>
      </c>
      <c r="H10" s="2">
        <v>1</v>
      </c>
      <c r="I10" s="2">
        <v>0</v>
      </c>
      <c r="J10" s="2">
        <v>0</v>
      </c>
    </row>
    <row r="11" spans="1:10">
      <c r="A11" s="1" t="s">
        <v>18</v>
      </c>
      <c r="B11" s="1" t="s">
        <v>13</v>
      </c>
      <c r="C11" s="2">
        <v>440461</v>
      </c>
      <c r="D11" s="2">
        <v>427958</v>
      </c>
      <c r="E11" s="2">
        <v>12503</v>
      </c>
      <c r="F11" s="2">
        <v>32</v>
      </c>
      <c r="G11" s="2">
        <v>77</v>
      </c>
      <c r="H11" s="2">
        <v>1</v>
      </c>
      <c r="I11" s="2">
        <v>1</v>
      </c>
      <c r="J11" s="2">
        <v>0</v>
      </c>
    </row>
    <row r="12" spans="1:10">
      <c r="A12" s="1" t="s">
        <v>18</v>
      </c>
      <c r="B12" s="1" t="s">
        <v>14</v>
      </c>
      <c r="C12" s="2">
        <v>332588</v>
      </c>
      <c r="D12" s="2">
        <v>319446</v>
      </c>
      <c r="E12" s="2">
        <v>13142</v>
      </c>
      <c r="F12" s="2">
        <v>31</v>
      </c>
      <c r="G12" s="2">
        <v>76</v>
      </c>
      <c r="H12" s="2">
        <v>1</v>
      </c>
      <c r="I12" s="2">
        <v>2</v>
      </c>
      <c r="J12" s="2">
        <v>0</v>
      </c>
    </row>
    <row r="13" spans="1:10">
      <c r="A13" s="1" t="s">
        <v>18</v>
      </c>
      <c r="B13" s="1" t="s">
        <v>15</v>
      </c>
      <c r="C13" s="2">
        <v>394351</v>
      </c>
      <c r="D13" s="2">
        <v>378124</v>
      </c>
      <c r="E13" s="2">
        <v>16227</v>
      </c>
      <c r="F13" s="2">
        <v>35</v>
      </c>
      <c r="G13" s="2">
        <v>67</v>
      </c>
      <c r="H13" s="2">
        <v>1</v>
      </c>
      <c r="I13" s="2">
        <v>2</v>
      </c>
      <c r="J13" s="2">
        <v>0</v>
      </c>
    </row>
  </sheetData>
  <autoFilter ref="A1:J13"/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6.7109375" style="1" customWidth="1"/>
    <col min="3" max="9" width="18.7109375" style="2" customWidth="1"/>
  </cols>
  <sheetData>
    <row r="1" spans="1:9" ht="34" customHeight="1">
      <c r="A1" s="3" t="s">
        <v>10</v>
      </c>
      <c r="B1" s="3" t="s">
        <v>11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>
      <c r="A2" s="1" t="s">
        <v>19</v>
      </c>
      <c r="B2" s="1" t="s">
        <v>20</v>
      </c>
      <c r="C2" s="2">
        <v>130439</v>
      </c>
      <c r="D2" s="2">
        <v>124502</v>
      </c>
      <c r="E2" s="2">
        <v>5937</v>
      </c>
      <c r="F2" s="2">
        <v>15</v>
      </c>
      <c r="G2" s="2">
        <v>104</v>
      </c>
      <c r="H2" s="2">
        <v>1</v>
      </c>
      <c r="I2" s="2">
        <v>0</v>
      </c>
    </row>
    <row r="3" spans="1:9">
      <c r="A3" s="1" t="s">
        <v>19</v>
      </c>
      <c r="B3" s="1" t="s">
        <v>21</v>
      </c>
      <c r="C3" s="2">
        <v>91116</v>
      </c>
      <c r="D3" s="2">
        <v>85628</v>
      </c>
      <c r="E3" s="2">
        <v>5488</v>
      </c>
      <c r="F3" s="2">
        <v>13</v>
      </c>
      <c r="G3" s="2">
        <v>100</v>
      </c>
      <c r="H3" s="2">
        <v>1</v>
      </c>
      <c r="I3" s="2">
        <v>0</v>
      </c>
    </row>
    <row r="4" spans="1:9">
      <c r="A4" s="1" t="s">
        <v>22</v>
      </c>
      <c r="B4" s="1" t="s">
        <v>20</v>
      </c>
      <c r="C4" s="2">
        <v>151664</v>
      </c>
      <c r="D4" s="2">
        <v>143592</v>
      </c>
      <c r="E4" s="2">
        <v>8072</v>
      </c>
      <c r="F4" s="2">
        <v>14</v>
      </c>
      <c r="G4" s="2">
        <v>103</v>
      </c>
      <c r="H4" s="2">
        <v>1</v>
      </c>
      <c r="I4" s="2">
        <v>0</v>
      </c>
    </row>
    <row r="5" spans="1:9">
      <c r="A5" s="1" t="s">
        <v>22</v>
      </c>
      <c r="B5" s="1" t="s">
        <v>21</v>
      </c>
      <c r="C5" s="2">
        <v>112233</v>
      </c>
      <c r="D5" s="2">
        <v>104704</v>
      </c>
      <c r="E5" s="2">
        <v>7529</v>
      </c>
      <c r="F5" s="2">
        <v>12</v>
      </c>
      <c r="G5" s="2">
        <v>99</v>
      </c>
      <c r="H5" s="2">
        <v>1</v>
      </c>
      <c r="I5" s="2">
        <v>0</v>
      </c>
    </row>
  </sheetData>
  <autoFilter ref="A1:I5"/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"/>
  <sheetViews>
    <sheetView showGridLines="0" workbookViewId="0"/>
  </sheetViews>
  <sheetFormatPr defaultRowHeight="15"/>
  <cols>
    <col min="1" max="1" width="16.7109375" style="1" customWidth="1"/>
    <col min="2" max="7" width="20.7109375" style="2" customWidth="1"/>
  </cols>
  <sheetData>
    <row r="1" spans="1:7">
      <c r="A1" s="3" t="s">
        <v>23</v>
      </c>
    </row>
    <row r="2" spans="1:7">
      <c r="A2" s="3" t="s">
        <v>1</v>
      </c>
      <c r="B2" s="3" t="s">
        <v>24</v>
      </c>
      <c r="C2" s="3" t="s">
        <v>18</v>
      </c>
      <c r="D2" s="3" t="s">
        <v>25</v>
      </c>
      <c r="E2" s="3" t="s">
        <v>26</v>
      </c>
      <c r="F2" s="3" t="s">
        <v>24</v>
      </c>
      <c r="G2" s="3" t="s">
        <v>18</v>
      </c>
    </row>
    <row r="3" spans="1:7">
      <c r="A3" s="1" t="s">
        <v>13</v>
      </c>
      <c r="B3" s="2">
        <f>SUMIFS('実験A_結果'!$C$2:$C$13,'実験A_結果'!$B$2:$B$13,A3,'実験A_結果'!$A$2:$A$13,"&lt;&gt;CSV処理")</f>
        <v>453068</v>
      </c>
      <c r="C3" s="2">
        <f>SUMIFS('実験A_結果'!$C$2:$C$13,'実験A_結果'!$B$2:$B$13,A3,'実験A_結果'!$A$2:$A$13,"CSV処理")</f>
        <v>440461</v>
      </c>
      <c r="D3" s="2">
        <f>SUM(B3:C3)</f>
        <v>893529</v>
      </c>
      <c r="E3" s="2">
        <f>COUNTIFS('実験A_結果'!$B$2:$B$13,A3,'実験A_結果'!$H$2:$H$13,1)</f>
        <v>4</v>
      </c>
      <c r="F3" s="4">
        <f>B3/1000</f>
        <v>453.068</v>
      </c>
      <c r="G3" s="4">
        <f>C3/1000</f>
        <v>440.461</v>
      </c>
    </row>
    <row r="4" spans="1:7">
      <c r="A4" s="1" t="s">
        <v>14</v>
      </c>
      <c r="B4" s="2">
        <f>SUMIFS('実験A_結果'!$C$2:$C$13,'実験A_結果'!$B$2:$B$13,A4,'実験A_結果'!$A$2:$A$13,"&lt;&gt;CSV処理")</f>
        <v>453068</v>
      </c>
      <c r="C4" s="2">
        <f>SUMIFS('実験A_結果'!$C$2:$C$13,'実験A_結果'!$B$2:$B$13,A4,'実験A_結果'!$A$2:$A$13,"CSV処理")</f>
        <v>332588</v>
      </c>
      <c r="D4" s="2">
        <f>SUM(B4:C4)</f>
        <v>785656</v>
      </c>
      <c r="E4" s="2">
        <f>COUNTIFS('実験A_結果'!$B$2:$B$13,A4,'実験A_結果'!$H$2:$H$13,1)</f>
        <v>4</v>
      </c>
      <c r="F4" s="4">
        <f>B4/1000</f>
        <v>453.068</v>
      </c>
      <c r="G4" s="4">
        <f>C4/1000</f>
        <v>332.588</v>
      </c>
    </row>
    <row r="5" spans="1:7">
      <c r="A5" s="1" t="s">
        <v>15</v>
      </c>
      <c r="B5" s="2">
        <f>SUMIFS('実験A_結果'!$C$2:$C$13,'実験A_結果'!$B$2:$B$13,A5,'実験A_結果'!$A$2:$A$13,"&lt;&gt;CSV処理")</f>
        <v>442571</v>
      </c>
      <c r="C5" s="2">
        <f>SUMIFS('実験A_結果'!$C$2:$C$13,'実験A_結果'!$B$2:$B$13,A5,'実験A_結果'!$A$2:$A$13,"CSV処理")</f>
        <v>394351</v>
      </c>
      <c r="D5" s="2">
        <f>SUM(B5:C5)</f>
        <v>836922</v>
      </c>
      <c r="E5" s="2">
        <f>COUNTIFS('実験A_結果'!$B$2:$B$13,A5,'実験A_結果'!$H$2:$H$13,1)</f>
        <v>4</v>
      </c>
      <c r="F5" s="4">
        <f>B5/1000</f>
        <v>442.571</v>
      </c>
      <c r="G5" s="4">
        <f>C5/1000</f>
        <v>394.351</v>
      </c>
    </row>
    <row r="7" spans="1:7">
      <c r="A7" s="1" t="s">
        <v>27</v>
      </c>
    </row>
    <row r="9" spans="1:7">
      <c r="A9" s="3" t="s">
        <v>28</v>
      </c>
    </row>
    <row r="10" spans="1:7">
      <c r="A10" s="3" t="s">
        <v>10</v>
      </c>
      <c r="B10" s="3" t="s">
        <v>20</v>
      </c>
      <c r="C10" s="3" t="s">
        <v>21</v>
      </c>
      <c r="D10" s="3" t="s">
        <v>29</v>
      </c>
      <c r="E10" s="3" t="s">
        <v>30</v>
      </c>
      <c r="F10" s="3" t="s">
        <v>20</v>
      </c>
      <c r="G10" s="3" t="s">
        <v>21</v>
      </c>
    </row>
    <row r="11" spans="1:7">
      <c r="A11" s="1" t="s">
        <v>19</v>
      </c>
      <c r="B11" s="2">
        <f>SUMIFS('実験B_結果'!$C$2:$C$5,'実験B_結果'!$A$2:$A$5,A11,'実験B_結果'!$B$2:$B$5,"通常継続")</f>
        <v>130439</v>
      </c>
      <c r="C11" s="2">
        <f>SUMIFS('実験B_結果'!$C$2:$C$5,'実験B_結果'!$A$2:$A$5,A11,'実験B_結果'!$B$2:$B$5,"完了判定")</f>
        <v>91116</v>
      </c>
      <c r="D11" s="5">
        <f>(B11-C11)/B11</f>
        <v>0.3014665859137221</v>
      </c>
      <c r="E11" s="1" t="str">
        <f>TEXT(D11,"0.00%")&amp;"減"</f>
        <v>30.15%減</v>
      </c>
      <c r="F11" s="4">
        <f>B11/1000</f>
        <v>130.439</v>
      </c>
      <c r="G11" s="4">
        <f>C11/1000</f>
        <v>91.116</v>
      </c>
    </row>
    <row r="12" spans="1:7">
      <c r="A12" s="1" t="s">
        <v>22</v>
      </c>
      <c r="B12" s="2">
        <f>SUMIFS('実験B_結果'!$C$2:$C$5,'実験B_結果'!$A$2:$A$5,A12,'実験B_結果'!$B$2:$B$5,"通常継続")</f>
        <v>151664</v>
      </c>
      <c r="C12" s="2">
        <f>SUMIFS('実験B_結果'!$C$2:$C$5,'実験B_結果'!$A$2:$A$5,A12,'実験B_結果'!$B$2:$B$5,"完了判定")</f>
        <v>112233</v>
      </c>
      <c r="D12" s="5">
        <f>(B12-C12)/B12</f>
        <v>0.25998918662306153</v>
      </c>
      <c r="E12" s="1" t="str">
        <f>TEXT(D12,"0.00%")&amp;"減"</f>
        <v>26.00%減</v>
      </c>
      <c r="F12" s="4">
        <f>B12/1000</f>
        <v>151.664</v>
      </c>
      <c r="G12" s="4">
        <f>C12/1000</f>
        <v>112.233</v>
      </c>
    </row>
    <row r="14" spans="1:7">
      <c r="A14" s="1" t="s">
        <v>31</v>
      </c>
    </row>
    <row r="15" spans="1:7">
      <c r="A15" s="1" t="s">
        <v>32</v>
      </c>
    </row>
  </sheetData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11"/>
  <sheetViews>
    <sheetView showGridLines="0" workbookViewId="0"/>
  </sheetViews>
  <sheetFormatPr defaultRowHeight="15"/>
  <cols>
    <col min="1" max="1" width="100.7109375" style="1" customWidth="1"/>
  </cols>
  <sheetData>
    <row r="1" spans="1:1">
      <c r="A1" s="1" t="s">
        <v>33</v>
      </c>
    </row>
    <row r="2" spans="1:1">
      <c r="A2" s="1" t="s">
        <v>34</v>
      </c>
    </row>
    <row r="3" spans="1:1">
      <c r="A3" s="1" t="s">
        <v>35</v>
      </c>
    </row>
    <row r="4" spans="1:1">
      <c r="A4" s="1" t="s">
        <v>36</v>
      </c>
    </row>
    <row r="5" spans="1:1">
      <c r="A5" s="1" t="s">
        <v>37</v>
      </c>
    </row>
    <row r="6" spans="1:1">
      <c r="A6" s="1" t="s">
        <v>38</v>
      </c>
    </row>
    <row r="7" spans="1:1">
      <c r="A7" s="1" t="s">
        <v>39</v>
      </c>
    </row>
    <row r="8" spans="1:1">
      <c r="A8" s="1" t="s">
        <v>40</v>
      </c>
    </row>
    <row r="9" spans="1:1">
      <c r="A9" s="1" t="s">
        <v>41</v>
      </c>
    </row>
    <row r="10" spans="1:1">
      <c r="A10" s="1" t="s">
        <v>42</v>
      </c>
    </row>
    <row r="11" spans="1:1">
      <c r="A11" s="1" t="s">
        <v>43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図2_実験A</vt:lpstr>
      <vt:lpstr>図3_実験B</vt:lpstr>
      <vt:lpstr>実験A_結果</vt:lpstr>
      <vt:lpstr>実験B_結果</vt:lpstr>
      <vt:lpstr>集計</vt:lpstr>
      <vt:lpstr>説明</vt:lpstr>
      <vt:lpstr>図2_実験A!Print_Area</vt:lpstr>
      <vt:lpstr>図3_実験B!Print_Area</vt:lpstr>
      <vt:lpstr>実験A_結果!Print_Area</vt:lpstr>
      <vt:lpstr>実験B_結果!Print_Area</vt:lpstr>
      <vt:lpstr>説明!Print_Area</vt:lpstr>
      <vt:lpstr>集計!Print_Area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LLMエージェントの実験結果と編集可能なグラフ</dc:title>
  <dc:creator/>
  <dc:description>Closed study A/B aggregates; independent studies, not pooled.</dc:description>
  <cp:lastModifiedBy/>
  <dcterms:created xsi:type="dcterms:W3CDTF">2026-10-29T00:00:00Z</dcterms:created>
  <dcterms:modified xsi:type="dcterms:W3CDTF">2026-10-29T00:00:00Z</dcterms:modified>
</cp:coreProperties>
</file>